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атуучулар " sheetId="1" r:id="rId5"/>
    <sheet state="visible" name="РОП" sheetId="2" r:id="rId6"/>
  </sheets>
  <definedNames/>
  <calcPr/>
</workbook>
</file>

<file path=xl/sharedStrings.xml><?xml version="1.0" encoding="utf-8"?>
<sst xmlns="http://schemas.openxmlformats.org/spreadsheetml/2006/main" count="54" uniqueCount="27">
  <si>
    <t xml:space="preserve">Сезим Досумбекова </t>
  </si>
  <si>
    <t xml:space="preserve">Нурсулуу Сатымкулова </t>
  </si>
  <si>
    <t>РОП(Аяна эже)</t>
  </si>
  <si>
    <t>Арзы агай</t>
  </si>
  <si>
    <t>Жалпы</t>
  </si>
  <si>
    <t>Кечигүү, Лид база 
убагында толтуруу</t>
  </si>
  <si>
    <t>2 Созвон 
3 Офиске чакыруу</t>
  </si>
  <si>
    <t>Сатуу(жумасына 2)</t>
  </si>
  <si>
    <t>Командалык
 чогулуштар</t>
  </si>
  <si>
    <t>Компанияга
 1 жаңылык</t>
  </si>
  <si>
    <t>Чогултулган
балл</t>
  </si>
  <si>
    <t>10,8,6,</t>
  </si>
  <si>
    <t>01.06-06.06</t>
  </si>
  <si>
    <t>08.06-13.06</t>
  </si>
  <si>
    <t>15.06-20.06</t>
  </si>
  <si>
    <t>22.06-27.07</t>
  </si>
  <si>
    <t>29.06-04.07</t>
  </si>
  <si>
    <t>06.07-11.07</t>
  </si>
  <si>
    <t>13.07-18.07</t>
  </si>
  <si>
    <t>20.07-25.07</t>
  </si>
  <si>
    <t>27.07-01.08</t>
  </si>
  <si>
    <t>03.08-08.08</t>
  </si>
  <si>
    <t>10.08-15.08</t>
  </si>
  <si>
    <t>17.08-22.08</t>
  </si>
  <si>
    <t>24.08-29.08</t>
  </si>
  <si>
    <t>Чогултулган 
упай</t>
  </si>
  <si>
    <t>KPI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</si>
</sst>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/>
    <font>
      <sz val="8.0"/>
      <color theme="1"/>
      <name val="Arial"/>
    </font>
    <font>
      <sz val="7.0"/>
      <color theme="1"/>
      <name val="Arial"/>
    </font>
    <font>
      <b/>
      <i/>
      <sz val="8.0"/>
      <color rgb="FFFFFFFF"/>
      <name val="Arial"/>
    </font>
    <font>
      <b/>
      <i/>
      <sz val="7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5" fillId="0" fontId="2" numFmtId="0" xfId="0" applyBorder="1" applyFont="1"/>
    <xf borderId="1" fillId="3" fontId="1" numFmtId="0" xfId="0" applyAlignment="1" applyBorder="1" applyFill="1" applyFont="1">
      <alignment horizontal="center" readingOrder="0" vertical="bottom"/>
    </xf>
    <xf borderId="3" fillId="4" fontId="1" numFmtId="0" xfId="0" applyAlignment="1" applyBorder="1" applyFill="1" applyFont="1">
      <alignment vertical="bottom"/>
    </xf>
    <xf borderId="6" fillId="0" fontId="2" numFmtId="0" xfId="0" applyBorder="1" applyFont="1"/>
    <xf borderId="3" fillId="2" fontId="3" numFmtId="0" xfId="0" applyAlignment="1" applyBorder="1" applyFill="1" applyFont="1">
      <alignment horizontal="center" readingOrder="0" textRotation="90"/>
    </xf>
    <xf borderId="3" fillId="2" fontId="3" numFmtId="0" xfId="0" applyAlignment="1" applyBorder="1" applyFill="1" applyFont="1">
      <alignment textRotation="90"/>
    </xf>
    <xf borderId="3" fillId="3" fontId="3" numFmtId="0" xfId="0" applyAlignment="1" applyBorder="1" applyFill="1" applyFont="1">
      <alignment readingOrder="0" textRotation="90"/>
    </xf>
    <xf borderId="3" fillId="4" fontId="4" numFmtId="0" xfId="0" applyAlignment="1" applyBorder="1" applyFill="1" applyFont="1">
      <alignment horizontal="center" textRotation="90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right" readingOrder="0" vertical="bottom"/>
    </xf>
    <xf borderId="7" fillId="0" fontId="2" numFmtId="0" xfId="0" applyBorder="1" applyFont="1"/>
    <xf borderId="3" fillId="0" fontId="1" numFmtId="0" xfId="0" applyAlignment="1" applyBorder="1" applyFont="1">
      <alignment horizontal="right" vertical="bottom"/>
    </xf>
    <xf borderId="3" fillId="5" fontId="1" numFmtId="0" xfId="0" applyAlignment="1" applyBorder="1" applyFill="1" applyFont="1">
      <alignment horizontal="right" readingOrder="0" vertical="bottom"/>
    </xf>
    <xf borderId="3" fillId="5" fontId="1" numFmtId="0" xfId="0" applyAlignment="1" applyBorder="1" applyFill="1" applyFont="1">
      <alignment readingOrder="0" vertical="bottom"/>
    </xf>
    <xf borderId="3" fillId="5" fontId="1" numFmtId="0" xfId="0" applyAlignment="1" applyBorder="1" applyFill="1" applyFont="1">
      <alignment horizontal="right" vertical="bottom"/>
    </xf>
    <xf borderId="3" fillId="6" fontId="1" numFmtId="0" xfId="0" applyAlignment="1" applyBorder="1" applyFill="1" applyFont="1">
      <alignment horizontal="right" textRotation="0" vertical="bottom"/>
    </xf>
    <xf borderId="3" fillId="6" fontId="1" numFmtId="0" xfId="0" applyAlignment="1" applyBorder="1" applyFill="1" applyFont="1">
      <alignment horizontal="right" readingOrder="0" textRotation="0" vertical="bottom"/>
    </xf>
    <xf borderId="0" fillId="6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7" fontId="5" numFmtId="0" xfId="0" applyAlignment="1" applyFill="1" applyFont="1">
      <alignment textRotation="90" vertical="bottom"/>
    </xf>
    <xf borderId="0" fillId="7" fontId="6" numFmtId="0" xfId="0" applyAlignment="1" applyFill="1" applyFont="1">
      <alignment textRotation="90" vertical="bottom"/>
    </xf>
    <xf borderId="0" fillId="7" fontId="1" numFmtId="0" xfId="0" applyAlignment="1" applyFill="1" applyFont="1">
      <alignment horizontal="right" readingOrder="0" vertical="bottom"/>
    </xf>
    <xf borderId="0" fillId="7" fontId="1" numFmtId="0" xfId="0" applyAlignment="1" applyFill="1" applyFont="1">
      <alignment horizontal="right" vertical="bottom"/>
    </xf>
    <xf borderId="0" fillId="7" fontId="1" numFmtId="10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1333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6.25"/>
    <col customWidth="1" min="3" max="3" width="4.13"/>
    <col customWidth="1" min="4" max="4" width="6.13"/>
    <col customWidth="1" min="5" max="5" width="5.13"/>
    <col customWidth="1" min="6" max="6" width="8.75"/>
    <col customWidth="1" min="7" max="7" width="6.75"/>
    <col customWidth="1" min="9" max="9" width="14.75"/>
    <col customWidth="1" min="10" max="10" width="6.38"/>
    <col customWidth="1" min="11" max="11" width="4.75"/>
    <col customWidth="1" min="12" max="13" width="5.25"/>
    <col customWidth="1" min="14" max="14" width="8.75"/>
    <col customWidth="1" min="15" max="15" width="5.75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5" t="s">
        <v>1</v>
      </c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</row>
    <row r="2">
      <c r="A2" s="6"/>
      <c r="B2" s="7" t="s">
        <v>2</v>
      </c>
      <c r="C2" s="2"/>
      <c r="D2" s="2"/>
      <c r="E2" s="8"/>
      <c r="F2" s="9" t="s">
        <v>3</v>
      </c>
      <c r="G2" s="10" t="s">
        <v>4</v>
      </c>
      <c r="H2" s="4"/>
      <c r="I2" s="6"/>
      <c r="J2" s="7" t="s">
        <v>2</v>
      </c>
      <c r="K2" s="2"/>
      <c r="L2" s="2"/>
      <c r="M2" s="8"/>
      <c r="N2" s="9" t="s">
        <v>3</v>
      </c>
      <c r="O2" s="10" t="s">
        <v>4</v>
      </c>
      <c r="P2" s="4"/>
      <c r="Q2" s="4"/>
      <c r="R2" s="4"/>
      <c r="S2" s="4"/>
      <c r="T2" s="4"/>
      <c r="U2" s="4"/>
      <c r="V2" s="4"/>
      <c r="W2" s="4"/>
      <c r="X2" s="4"/>
    </row>
    <row r="3">
      <c r="A3" s="11"/>
      <c r="B3" s="12" t="s">
        <v>5</v>
      </c>
      <c r="C3" s="12" t="s">
        <v>6</v>
      </c>
      <c r="D3" s="12" t="s">
        <v>7</v>
      </c>
      <c r="E3" s="13" t="s">
        <v>8</v>
      </c>
      <c r="F3" s="14" t="s">
        <v>9</v>
      </c>
      <c r="G3" s="15" t="s">
        <v>10</v>
      </c>
      <c r="H3" s="4"/>
      <c r="I3" s="11"/>
      <c r="J3" s="12" t="s">
        <v>5</v>
      </c>
      <c r="K3" s="12" t="s">
        <v>6</v>
      </c>
      <c r="L3" s="12" t="s">
        <v>7</v>
      </c>
      <c r="M3" s="13" t="s">
        <v>8</v>
      </c>
      <c r="N3" s="14" t="s">
        <v>9</v>
      </c>
      <c r="O3" s="15" t="s">
        <v>10</v>
      </c>
      <c r="P3" s="4"/>
      <c r="Q3" s="4"/>
      <c r="R3" s="4"/>
      <c r="S3" s="4"/>
      <c r="T3" s="4"/>
      <c r="U3" s="4"/>
      <c r="V3" s="4"/>
      <c r="W3" s="4"/>
      <c r="X3" s="4"/>
    </row>
    <row r="4">
      <c r="A4" s="11"/>
      <c r="B4" s="16" t="s">
        <v>11</v>
      </c>
      <c r="C4" s="16">
        <v>8.0</v>
      </c>
      <c r="D4" s="17">
        <v>25.0</v>
      </c>
      <c r="E4" s="17">
        <v>10.0</v>
      </c>
      <c r="F4" s="17">
        <v>50.0</v>
      </c>
      <c r="G4" s="3"/>
      <c r="H4" s="4"/>
      <c r="I4" s="11"/>
      <c r="J4" s="16" t="s">
        <v>11</v>
      </c>
      <c r="K4" s="16">
        <v>8.0</v>
      </c>
      <c r="L4" s="17">
        <v>25.0</v>
      </c>
      <c r="M4" s="17">
        <v>10.0</v>
      </c>
      <c r="N4" s="17">
        <v>50.0</v>
      </c>
      <c r="O4" s="3"/>
      <c r="P4" s="4"/>
      <c r="Q4" s="4"/>
      <c r="R4" s="4"/>
      <c r="S4" s="4"/>
      <c r="T4" s="4"/>
      <c r="U4" s="4"/>
      <c r="V4" s="4"/>
      <c r="W4" s="4"/>
      <c r="X4" s="4"/>
    </row>
    <row r="5">
      <c r="A5" s="18"/>
      <c r="B5" s="16">
        <v>130.0</v>
      </c>
      <c r="C5" s="16">
        <v>520.0</v>
      </c>
      <c r="D5" s="17">
        <v>650.0</v>
      </c>
      <c r="E5" s="17">
        <v>130.0</v>
      </c>
      <c r="F5" s="17">
        <v>150.0</v>
      </c>
      <c r="G5" s="19">
        <f t="shared" ref="G5:G17" si="1">SUM(B5:F5)</f>
        <v>1580</v>
      </c>
      <c r="H5" s="4"/>
      <c r="I5" s="18"/>
      <c r="J5" s="16">
        <v>130.0</v>
      </c>
      <c r="K5" s="16">
        <v>520.0</v>
      </c>
      <c r="L5" s="17">
        <v>650.0</v>
      </c>
      <c r="M5" s="17">
        <v>130.0</v>
      </c>
      <c r="N5" s="17">
        <v>150.0</v>
      </c>
      <c r="O5" s="19">
        <f t="shared" ref="O5:O17" si="2">SUM(J5:N5)</f>
        <v>1580</v>
      </c>
      <c r="P5" s="4"/>
      <c r="Q5" s="4"/>
      <c r="R5" s="4"/>
      <c r="S5" s="4"/>
      <c r="T5" s="4"/>
      <c r="U5" s="4"/>
      <c r="V5" s="4"/>
      <c r="W5" s="4"/>
      <c r="X5" s="4"/>
    </row>
    <row r="6">
      <c r="A6" s="16" t="s">
        <v>12</v>
      </c>
      <c r="B6" s="20">
        <v>10.0</v>
      </c>
      <c r="C6" s="20">
        <v>32.0</v>
      </c>
      <c r="D6" s="20">
        <v>50.0</v>
      </c>
      <c r="E6" s="20">
        <v>10.0</v>
      </c>
      <c r="F6" s="20">
        <v>50.0</v>
      </c>
      <c r="G6" s="19">
        <f t="shared" si="1"/>
        <v>152</v>
      </c>
      <c r="H6" s="4"/>
      <c r="I6" s="16" t="s">
        <v>12</v>
      </c>
      <c r="J6" s="20">
        <v>10.0</v>
      </c>
      <c r="K6" s="20">
        <v>40.0</v>
      </c>
      <c r="L6" s="20">
        <v>0.0</v>
      </c>
      <c r="M6" s="20">
        <v>10.0</v>
      </c>
      <c r="N6" s="20">
        <v>0.0</v>
      </c>
      <c r="O6" s="19">
        <f t="shared" si="2"/>
        <v>60</v>
      </c>
      <c r="P6" s="4"/>
      <c r="Q6" s="4"/>
      <c r="R6" s="4"/>
      <c r="S6" s="4"/>
      <c r="T6" s="4"/>
      <c r="U6" s="4"/>
      <c r="V6" s="4"/>
      <c r="W6" s="4"/>
      <c r="X6" s="4"/>
    </row>
    <row r="7">
      <c r="A7" s="21" t="s">
        <v>13</v>
      </c>
      <c r="B7" s="17">
        <v>10.0</v>
      </c>
      <c r="C7" s="17">
        <v>40.0</v>
      </c>
      <c r="D7" s="17">
        <v>25.0</v>
      </c>
      <c r="E7" s="17">
        <v>10.0</v>
      </c>
      <c r="F7" s="19"/>
      <c r="G7" s="19">
        <f t="shared" si="1"/>
        <v>85</v>
      </c>
      <c r="H7" s="4"/>
      <c r="I7" s="21" t="s">
        <v>13</v>
      </c>
      <c r="J7" s="17">
        <v>10.0</v>
      </c>
      <c r="K7" s="17">
        <v>40.0</v>
      </c>
      <c r="L7" s="17">
        <v>0.0</v>
      </c>
      <c r="M7" s="17">
        <v>10.0</v>
      </c>
      <c r="N7" s="19"/>
      <c r="O7" s="19">
        <f t="shared" si="2"/>
        <v>60</v>
      </c>
      <c r="P7" s="4"/>
      <c r="Q7" s="4"/>
      <c r="R7" s="4"/>
      <c r="S7" s="4"/>
      <c r="T7" s="4"/>
      <c r="U7" s="4"/>
      <c r="V7" s="4"/>
      <c r="W7" s="4"/>
      <c r="X7" s="4"/>
    </row>
    <row r="8">
      <c r="A8" s="16" t="s">
        <v>14</v>
      </c>
      <c r="B8" s="20">
        <v>8.0</v>
      </c>
      <c r="C8" s="20">
        <v>40.0</v>
      </c>
      <c r="D8" s="20">
        <v>0.0</v>
      </c>
      <c r="E8" s="20">
        <v>10.0</v>
      </c>
      <c r="F8" s="22"/>
      <c r="G8" s="19">
        <f t="shared" si="1"/>
        <v>58</v>
      </c>
      <c r="H8" s="4"/>
      <c r="I8" s="16" t="s">
        <v>14</v>
      </c>
      <c r="J8" s="20">
        <v>10.0</v>
      </c>
      <c r="K8" s="20">
        <v>40.0</v>
      </c>
      <c r="L8" s="20">
        <v>25.0</v>
      </c>
      <c r="M8" s="20">
        <v>10.0</v>
      </c>
      <c r="N8" s="22"/>
      <c r="O8" s="19">
        <f t="shared" si="2"/>
        <v>85</v>
      </c>
      <c r="P8" s="4"/>
      <c r="Q8" s="4"/>
      <c r="R8" s="4"/>
      <c r="S8" s="4"/>
      <c r="T8" s="4"/>
      <c r="U8" s="4"/>
      <c r="V8" s="4"/>
      <c r="W8" s="4"/>
      <c r="X8" s="4"/>
    </row>
    <row r="9">
      <c r="A9" s="21" t="s">
        <v>15</v>
      </c>
      <c r="B9" s="17">
        <v>10.0</v>
      </c>
      <c r="C9" s="17">
        <v>40.0</v>
      </c>
      <c r="D9" s="17">
        <v>50.0</v>
      </c>
      <c r="E9" s="17">
        <v>10.0</v>
      </c>
      <c r="F9" s="19"/>
      <c r="G9" s="19">
        <f t="shared" si="1"/>
        <v>110</v>
      </c>
      <c r="H9" s="4"/>
      <c r="I9" s="21" t="s">
        <v>15</v>
      </c>
      <c r="J9" s="17">
        <v>10.0</v>
      </c>
      <c r="K9" s="17">
        <v>40.0</v>
      </c>
      <c r="L9" s="17">
        <v>25.0</v>
      </c>
      <c r="M9" s="17">
        <v>10.0</v>
      </c>
      <c r="N9" s="19"/>
      <c r="O9" s="19">
        <f t="shared" si="2"/>
        <v>85</v>
      </c>
      <c r="P9" s="4"/>
      <c r="Q9" s="4"/>
      <c r="R9" s="4"/>
      <c r="S9" s="4"/>
      <c r="T9" s="4"/>
      <c r="U9" s="4"/>
      <c r="V9" s="4"/>
      <c r="W9" s="4"/>
      <c r="X9" s="4"/>
    </row>
    <row r="10">
      <c r="A10" s="16" t="s">
        <v>16</v>
      </c>
      <c r="B10" s="20">
        <v>8.0</v>
      </c>
      <c r="C10" s="20">
        <v>40.0</v>
      </c>
      <c r="D10" s="20">
        <v>0.0</v>
      </c>
      <c r="E10" s="20">
        <v>10.0</v>
      </c>
      <c r="F10" s="22"/>
      <c r="G10" s="19">
        <f t="shared" si="1"/>
        <v>58</v>
      </c>
      <c r="H10" s="4"/>
      <c r="I10" s="16" t="s">
        <v>16</v>
      </c>
      <c r="J10" s="20">
        <v>10.0</v>
      </c>
      <c r="K10" s="20">
        <v>40.0</v>
      </c>
      <c r="L10" s="20">
        <v>0.0</v>
      </c>
      <c r="M10" s="20">
        <v>10.0</v>
      </c>
      <c r="N10" s="22"/>
      <c r="O10" s="19">
        <f t="shared" si="2"/>
        <v>60</v>
      </c>
      <c r="P10" s="4"/>
      <c r="Q10" s="4"/>
      <c r="R10" s="4"/>
      <c r="S10" s="4"/>
      <c r="T10" s="4"/>
      <c r="U10" s="4"/>
      <c r="V10" s="4"/>
      <c r="W10" s="4"/>
      <c r="X10" s="4"/>
    </row>
    <row r="11">
      <c r="A11" s="21" t="s">
        <v>17</v>
      </c>
      <c r="B11" s="17">
        <v>8.0</v>
      </c>
      <c r="C11" s="17">
        <v>40.0</v>
      </c>
      <c r="D11" s="17">
        <v>25.0</v>
      </c>
      <c r="E11" s="17">
        <v>10.0</v>
      </c>
      <c r="F11" s="19"/>
      <c r="G11" s="19">
        <f t="shared" si="1"/>
        <v>83</v>
      </c>
      <c r="H11" s="4"/>
      <c r="I11" s="21" t="s">
        <v>17</v>
      </c>
      <c r="J11" s="17">
        <v>10.0</v>
      </c>
      <c r="K11" s="17">
        <v>40.0</v>
      </c>
      <c r="L11" s="17">
        <v>25.0</v>
      </c>
      <c r="M11" s="17">
        <v>10.0</v>
      </c>
      <c r="N11" s="19"/>
      <c r="O11" s="19">
        <f t="shared" si="2"/>
        <v>85</v>
      </c>
      <c r="P11" s="4"/>
      <c r="Q11" s="4"/>
      <c r="R11" s="4"/>
      <c r="S11" s="4"/>
      <c r="T11" s="4"/>
      <c r="U11" s="4"/>
      <c r="V11" s="4"/>
      <c r="W11" s="4"/>
      <c r="X11" s="4"/>
    </row>
    <row r="12">
      <c r="A12" s="16" t="s">
        <v>18</v>
      </c>
      <c r="B12" s="20">
        <v>10.0</v>
      </c>
      <c r="C12" s="20">
        <v>40.0</v>
      </c>
      <c r="D12" s="20">
        <v>25.0</v>
      </c>
      <c r="E12" s="20">
        <v>10.0</v>
      </c>
      <c r="F12" s="22"/>
      <c r="G12" s="19">
        <f t="shared" si="1"/>
        <v>85</v>
      </c>
      <c r="H12" s="4"/>
      <c r="I12" s="16" t="s">
        <v>18</v>
      </c>
      <c r="J12" s="20">
        <v>10.0</v>
      </c>
      <c r="K12" s="20">
        <v>40.0</v>
      </c>
      <c r="L12" s="20">
        <v>50.0</v>
      </c>
      <c r="M12" s="20">
        <v>10.0</v>
      </c>
      <c r="N12" s="22"/>
      <c r="O12" s="19">
        <f t="shared" si="2"/>
        <v>110</v>
      </c>
      <c r="P12" s="4"/>
      <c r="Q12" s="4"/>
      <c r="R12" s="4"/>
      <c r="S12" s="4"/>
      <c r="T12" s="4"/>
      <c r="U12" s="4"/>
      <c r="V12" s="4"/>
      <c r="W12" s="4"/>
      <c r="X12" s="4"/>
    </row>
    <row r="13">
      <c r="A13" s="21" t="s">
        <v>19</v>
      </c>
      <c r="B13" s="19"/>
      <c r="C13" s="19"/>
      <c r="D13" s="19"/>
      <c r="E13" s="19"/>
      <c r="F13" s="19"/>
      <c r="G13" s="19">
        <f t="shared" si="1"/>
        <v>0</v>
      </c>
      <c r="H13" s="4"/>
      <c r="I13" s="21" t="s">
        <v>19</v>
      </c>
      <c r="J13" s="19"/>
      <c r="K13" s="19"/>
      <c r="L13" s="19"/>
      <c r="M13" s="19"/>
      <c r="N13" s="19"/>
      <c r="O13" s="19">
        <f t="shared" si="2"/>
        <v>0</v>
      </c>
      <c r="P13" s="4"/>
      <c r="Q13" s="4"/>
      <c r="R13" s="4"/>
      <c r="S13" s="4"/>
      <c r="T13" s="4"/>
      <c r="U13" s="4"/>
      <c r="V13" s="4"/>
      <c r="W13" s="4"/>
      <c r="X13" s="4"/>
    </row>
    <row r="14">
      <c r="A14" s="16" t="s">
        <v>20</v>
      </c>
      <c r="B14" s="22"/>
      <c r="C14" s="22"/>
      <c r="D14" s="22"/>
      <c r="E14" s="22"/>
      <c r="F14" s="22"/>
      <c r="G14" s="19">
        <f t="shared" si="1"/>
        <v>0</v>
      </c>
      <c r="H14" s="4"/>
      <c r="I14" s="16" t="s">
        <v>20</v>
      </c>
      <c r="J14" s="22"/>
      <c r="K14" s="22"/>
      <c r="L14" s="22"/>
      <c r="M14" s="22"/>
      <c r="N14" s="22"/>
      <c r="O14" s="19">
        <f t="shared" si="2"/>
        <v>0</v>
      </c>
      <c r="P14" s="4"/>
      <c r="Q14" s="4"/>
      <c r="R14" s="4"/>
      <c r="S14" s="4"/>
      <c r="T14" s="4"/>
      <c r="U14" s="4"/>
      <c r="V14" s="4"/>
      <c r="W14" s="4"/>
      <c r="X14" s="4"/>
    </row>
    <row r="15">
      <c r="A15" s="21" t="s">
        <v>21</v>
      </c>
      <c r="B15" s="19"/>
      <c r="C15" s="19"/>
      <c r="D15" s="19"/>
      <c r="E15" s="19"/>
      <c r="F15" s="19"/>
      <c r="G15" s="19">
        <f t="shared" si="1"/>
        <v>0</v>
      </c>
      <c r="H15" s="4"/>
      <c r="I15" s="21" t="s">
        <v>21</v>
      </c>
      <c r="J15" s="19"/>
      <c r="K15" s="19"/>
      <c r="L15" s="19"/>
      <c r="M15" s="19"/>
      <c r="N15" s="19"/>
      <c r="O15" s="19">
        <f t="shared" si="2"/>
        <v>0</v>
      </c>
      <c r="P15" s="4"/>
      <c r="Q15" s="4"/>
      <c r="R15" s="4"/>
      <c r="S15" s="4"/>
      <c r="T15" s="4"/>
      <c r="U15" s="4"/>
      <c r="V15" s="4"/>
      <c r="W15" s="4"/>
      <c r="X15" s="4"/>
    </row>
    <row r="16">
      <c r="A16" s="16" t="s">
        <v>22</v>
      </c>
      <c r="B16" s="22"/>
      <c r="C16" s="22"/>
      <c r="D16" s="22"/>
      <c r="E16" s="22"/>
      <c r="F16" s="22"/>
      <c r="G16" s="19">
        <f t="shared" si="1"/>
        <v>0</v>
      </c>
      <c r="H16" s="4"/>
      <c r="I16" s="16" t="s">
        <v>22</v>
      </c>
      <c r="J16" s="22"/>
      <c r="K16" s="22"/>
      <c r="L16" s="22"/>
      <c r="M16" s="22"/>
      <c r="N16" s="22"/>
      <c r="O16" s="19">
        <f t="shared" si="2"/>
        <v>0</v>
      </c>
      <c r="P16" s="4"/>
      <c r="Q16" s="4"/>
      <c r="R16" s="4"/>
      <c r="S16" s="4"/>
      <c r="T16" s="4"/>
      <c r="U16" s="4"/>
      <c r="V16" s="4"/>
      <c r="W16" s="4"/>
      <c r="X16" s="4"/>
    </row>
    <row r="17">
      <c r="A17" s="21" t="s">
        <v>23</v>
      </c>
      <c r="B17" s="19"/>
      <c r="C17" s="19"/>
      <c r="D17" s="19"/>
      <c r="E17" s="19"/>
      <c r="F17" s="19"/>
      <c r="G17" s="19">
        <f t="shared" si="1"/>
        <v>0</v>
      </c>
      <c r="H17" s="4"/>
      <c r="I17" s="21" t="s">
        <v>23</v>
      </c>
      <c r="J17" s="19"/>
      <c r="K17" s="19"/>
      <c r="L17" s="19"/>
      <c r="M17" s="19"/>
      <c r="N17" s="19"/>
      <c r="O17" s="19">
        <f t="shared" si="2"/>
        <v>0</v>
      </c>
      <c r="P17" s="4"/>
      <c r="Q17" s="4"/>
      <c r="R17" s="4"/>
      <c r="S17" s="4"/>
      <c r="T17" s="4"/>
      <c r="U17" s="4"/>
      <c r="V17" s="4"/>
      <c r="W17" s="4"/>
      <c r="X17" s="4"/>
    </row>
    <row r="18">
      <c r="A18" s="16" t="s">
        <v>24</v>
      </c>
      <c r="B18" s="23"/>
      <c r="C18" s="24"/>
      <c r="D18" s="23"/>
      <c r="E18" s="23"/>
      <c r="F18" s="23"/>
      <c r="G18" s="24">
        <v>0.0</v>
      </c>
      <c r="H18" s="4"/>
      <c r="I18" s="16" t="s">
        <v>24</v>
      </c>
      <c r="J18" s="23"/>
      <c r="K18" s="23"/>
      <c r="L18" s="23"/>
      <c r="M18" s="23"/>
      <c r="N18" s="23"/>
      <c r="O18" s="23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25">
        <f t="shared" ref="B19:G19" si="3">SUM(B6:B18)</f>
        <v>64</v>
      </c>
      <c r="C19" s="25">
        <f t="shared" si="3"/>
        <v>272</v>
      </c>
      <c r="D19" s="25">
        <f t="shared" si="3"/>
        <v>175</v>
      </c>
      <c r="E19" s="26">
        <f t="shared" si="3"/>
        <v>70</v>
      </c>
      <c r="F19" s="4">
        <f t="shared" si="3"/>
        <v>50</v>
      </c>
      <c r="G19" s="4">
        <f t="shared" si="3"/>
        <v>631</v>
      </c>
      <c r="H19" s="4"/>
      <c r="I19" s="4"/>
      <c r="J19" s="25">
        <f t="shared" ref="J19:O19" si="4">SUM(J6:J18)</f>
        <v>70</v>
      </c>
      <c r="K19" s="25">
        <f t="shared" si="4"/>
        <v>280</v>
      </c>
      <c r="L19" s="25">
        <f t="shared" si="4"/>
        <v>125</v>
      </c>
      <c r="M19" s="4">
        <f t="shared" si="4"/>
        <v>70</v>
      </c>
      <c r="N19" s="4">
        <f t="shared" si="4"/>
        <v>0</v>
      </c>
      <c r="O19" s="4">
        <f t="shared" si="4"/>
        <v>545</v>
      </c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25"/>
      <c r="C20" s="27" t="s">
        <v>4</v>
      </c>
      <c r="D20" s="28" t="s">
        <v>25</v>
      </c>
      <c r="E20" s="27" t="s">
        <v>26</v>
      </c>
      <c r="F20" s="4"/>
      <c r="G20" s="4"/>
      <c r="H20" s="4"/>
      <c r="I20" s="4"/>
      <c r="J20" s="25"/>
      <c r="K20" s="27" t="s">
        <v>4</v>
      </c>
      <c r="L20" s="28" t="s">
        <v>25</v>
      </c>
      <c r="M20" s="27" t="s">
        <v>26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29">
        <v>1580.0</v>
      </c>
      <c r="D21" s="30">
        <f>G19</f>
        <v>631</v>
      </c>
      <c r="E21" s="31">
        <f>D21/C21</f>
        <v>0.3993670886</v>
      </c>
      <c r="F21" s="4"/>
      <c r="G21" s="4"/>
      <c r="H21" s="4"/>
      <c r="I21" s="4"/>
      <c r="J21" s="4"/>
      <c r="K21" s="29">
        <v>1580.0</v>
      </c>
      <c r="L21" s="30">
        <f>O19</f>
        <v>545</v>
      </c>
      <c r="M21" s="31">
        <f>L21/K21</f>
        <v>0.3449367089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</sheetData>
  <mergeCells count="6">
    <mergeCell ref="A1:F1"/>
    <mergeCell ref="I1:N1"/>
    <mergeCell ref="A2:A5"/>
    <mergeCell ref="B2:E2"/>
    <mergeCell ref="I2:I5"/>
    <mergeCell ref="J2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